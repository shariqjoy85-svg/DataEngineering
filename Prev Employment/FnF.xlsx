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ochind-my.sharepoint.com/personal/shariq_mohd_kochgs_com/Documents/KBXT/HCL/"/>
    </mc:Choice>
  </mc:AlternateContent>
  <xr:revisionPtr revIDLastSave="0" documentId="8_{283A5B06-7A8C-474E-9946-3B299A0F355D}" xr6:coauthVersionLast="47" xr6:coauthVersionMax="47" xr10:uidLastSave="{00000000-0000-0000-0000-000000000000}"/>
  <bookViews>
    <workbookView xWindow="-110" yWindow="-110" windowWidth="19420" windowHeight="10300" xr2:uid="{7DA36E10-6728-4225-9300-6B30F1109B8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K5" i="1"/>
  <c r="F15" i="1"/>
  <c r="E10" i="1"/>
  <c r="E4" i="1"/>
  <c r="N7" i="1"/>
  <c r="O7" i="1" s="1"/>
</calcChain>
</file>

<file path=xl/sharedStrings.xml><?xml version="1.0" encoding="utf-8"?>
<sst xmlns="http://schemas.openxmlformats.org/spreadsheetml/2006/main" count="32" uniqueCount="19">
  <si>
    <t>Leave Enc</t>
  </si>
  <si>
    <t>Deduction</t>
  </si>
  <si>
    <t>Amount</t>
  </si>
  <si>
    <t>Hold Sal</t>
  </si>
  <si>
    <t>Dec Sal</t>
  </si>
  <si>
    <t>Particulars</t>
  </si>
  <si>
    <t>Expected Earnings</t>
  </si>
  <si>
    <t>LTA</t>
  </si>
  <si>
    <t>Monthly Sal</t>
  </si>
  <si>
    <t>Daily Sal</t>
  </si>
  <si>
    <t>Actual</t>
  </si>
  <si>
    <t>Unclaimed Fuel</t>
  </si>
  <si>
    <t>Ee PF contribution</t>
  </si>
  <si>
    <t>Ee VPF contribution</t>
  </si>
  <si>
    <t>FnF</t>
  </si>
  <si>
    <t>Overall Earnings</t>
  </si>
  <si>
    <t>Remaining LTA</t>
  </si>
  <si>
    <t>Days</t>
  </si>
  <si>
    <t>LTA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</si>
</sst>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quotePrefix="1" applyNumberFormat="1"/>
    <xf numFmtId="0" fontId="0" fillId="0" borderId="0" xfId="0" quotePrefix="1" applyNumberFormat="1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9017-2628-4538-BDD7-A2919B1EA287}">
  <dimension ref="A1:R15"/>
  <sheetViews>
    <sheetView tabSelected="1" workbookViewId="0">
      <selection activeCell="H9" sqref="H9"/>
    </sheetView>
  </sheetViews>
  <sheetFormatPr defaultRowHeight="14.5" x14ac:dyDescent="0.35"/>
  <cols>
    <col min="1" max="1" width="13.6328125" bestFit="1" customWidth="1"/>
    <col min="2" max="2" width="10.453125" bestFit="1" customWidth="1"/>
    <col min="4" max="4" width="13.453125" bestFit="1" customWidth="1"/>
    <col min="5" max="5" width="10.453125" bestFit="1" customWidth="1"/>
    <col min="6" max="6" width="9.81640625" bestFit="1" customWidth="1"/>
    <col min="7" max="7" width="20.54296875" bestFit="1" customWidth="1"/>
    <col min="8" max="8" width="9.81640625" bestFit="1" customWidth="1"/>
    <col min="10" max="10" width="17.1796875" bestFit="1" customWidth="1"/>
    <col min="13" max="13" width="10.6328125" bestFit="1" customWidth="1"/>
    <col min="14" max="14" width="7.7265625" bestFit="1" customWidth="1"/>
    <col min="15" max="15" width="6.7265625" bestFit="1" customWidth="1"/>
    <col min="16" max="16" width="10.453125" bestFit="1" customWidth="1"/>
    <col min="17" max="17" width="8.453125" bestFit="1" customWidth="1"/>
    <col min="18" max="18" width="12.81640625" customWidth="1"/>
  </cols>
  <sheetData>
    <row r="1" spans="1:18" x14ac:dyDescent="0.35">
      <c r="A1" s="2" t="s">
        <v>15</v>
      </c>
      <c r="B1" s="2"/>
      <c r="D1" s="2" t="s">
        <v>6</v>
      </c>
      <c r="E1" s="2"/>
      <c r="G1" s="2" t="s">
        <v>10</v>
      </c>
      <c r="H1" s="2"/>
      <c r="J1" s="2" t="s">
        <v>1</v>
      </c>
      <c r="K1" s="2"/>
    </row>
    <row r="2" spans="1:18" x14ac:dyDescent="0.35">
      <c r="A2" s="8" t="s">
        <v>5</v>
      </c>
      <c r="B2" s="8" t="s">
        <v>2</v>
      </c>
      <c r="C2" s="9"/>
      <c r="D2" s="8" t="s">
        <v>5</v>
      </c>
      <c r="E2" s="8" t="s">
        <v>2</v>
      </c>
      <c r="F2" s="9"/>
      <c r="G2" s="8" t="s">
        <v>5</v>
      </c>
      <c r="H2" s="8" t="s">
        <v>2</v>
      </c>
      <c r="I2" s="9"/>
      <c r="J2" s="8" t="s">
        <v>5</v>
      </c>
      <c r="K2" s="8" t="s">
        <v>2</v>
      </c>
    </row>
    <row r="3" spans="1:18" x14ac:dyDescent="0.35">
      <c r="A3" s="6" t="s">
        <v>0</v>
      </c>
      <c r="B3" s="7">
        <v>27215</v>
      </c>
      <c r="D3" s="6" t="s">
        <v>0</v>
      </c>
      <c r="E3" s="7">
        <v>27215</v>
      </c>
      <c r="G3" s="6" t="s">
        <v>0</v>
      </c>
      <c r="H3" s="7">
        <v>27215</v>
      </c>
      <c r="J3" s="6" t="s">
        <v>12</v>
      </c>
      <c r="K3" s="7">
        <v>4507</v>
      </c>
    </row>
    <row r="4" spans="1:18" x14ac:dyDescent="0.35">
      <c r="A4" s="6" t="s">
        <v>7</v>
      </c>
      <c r="B4" s="7">
        <v>60000</v>
      </c>
      <c r="D4" s="6" t="s">
        <v>16</v>
      </c>
      <c r="E4" s="7">
        <f>H12-H11</f>
        <v>16602.739999999998</v>
      </c>
      <c r="G4" s="6"/>
      <c r="H4" s="7"/>
      <c r="J4" s="6" t="s">
        <v>13</v>
      </c>
      <c r="K4" s="7">
        <v>3005</v>
      </c>
    </row>
    <row r="5" spans="1:18" x14ac:dyDescent="0.35">
      <c r="A5" s="6" t="s">
        <v>11</v>
      </c>
      <c r="B5" s="7">
        <v>650.96</v>
      </c>
      <c r="D5" s="6" t="s">
        <v>11</v>
      </c>
      <c r="E5" s="7">
        <v>650.96</v>
      </c>
      <c r="G5" s="6" t="s">
        <v>11</v>
      </c>
      <c r="H5" s="7">
        <v>650.96</v>
      </c>
      <c r="K5" s="1">
        <f>SUM(K3:K4)</f>
        <v>7512</v>
      </c>
      <c r="P5" s="3"/>
      <c r="Q5" s="4"/>
      <c r="R5" s="4"/>
    </row>
    <row r="6" spans="1:18" x14ac:dyDescent="0.35">
      <c r="A6" s="6" t="s">
        <v>3</v>
      </c>
      <c r="B6" s="7">
        <v>117483</v>
      </c>
      <c r="D6" s="6" t="s">
        <v>3</v>
      </c>
      <c r="E6" s="7">
        <v>117483</v>
      </c>
      <c r="G6" s="6" t="s">
        <v>3</v>
      </c>
      <c r="H6" s="7">
        <v>117483</v>
      </c>
      <c r="M6" s="6" t="s">
        <v>8</v>
      </c>
      <c r="N6" s="6" t="s">
        <v>9</v>
      </c>
      <c r="O6" s="6" t="s">
        <v>4</v>
      </c>
      <c r="Q6" s="5"/>
    </row>
    <row r="7" spans="1:18" x14ac:dyDescent="0.35">
      <c r="A7" s="6" t="s">
        <v>4</v>
      </c>
      <c r="B7" s="7">
        <v>-124892.11</v>
      </c>
      <c r="E7" s="1"/>
      <c r="H7" s="1">
        <f>SUM(H3:H6)</f>
        <v>145348.96</v>
      </c>
      <c r="M7" s="7">
        <v>135090</v>
      </c>
      <c r="N7" s="6">
        <f>M7/30</f>
        <v>4503</v>
      </c>
      <c r="O7" s="6">
        <f>N7*20</f>
        <v>90060</v>
      </c>
    </row>
    <row r="8" spans="1:18" x14ac:dyDescent="0.35">
      <c r="A8" s="6" t="s">
        <v>14</v>
      </c>
      <c r="B8" s="7">
        <v>145348.96</v>
      </c>
      <c r="E8" s="1"/>
      <c r="F8" s="1"/>
      <c r="H8" s="1">
        <f>H7-K5</f>
        <v>137836.96</v>
      </c>
    </row>
    <row r="9" spans="1:18" x14ac:dyDescent="0.35">
      <c r="E9" s="1"/>
      <c r="F9" s="3"/>
      <c r="J9" s="3" t="s">
        <v>17</v>
      </c>
      <c r="K9" s="1">
        <v>263</v>
      </c>
    </row>
    <row r="10" spans="1:18" x14ac:dyDescent="0.35">
      <c r="E10" s="1">
        <f>SUM(E3:E6)</f>
        <v>161951.70000000001</v>
      </c>
      <c r="H10" t="s">
        <v>18</v>
      </c>
    </row>
    <row r="11" spans="1:18" x14ac:dyDescent="0.35">
      <c r="E11" s="1"/>
      <c r="G11" s="1"/>
      <c r="H11" s="1">
        <v>43397.26</v>
      </c>
    </row>
    <row r="12" spans="1:18" x14ac:dyDescent="0.35">
      <c r="H12">
        <v>60000</v>
      </c>
    </row>
    <row r="13" spans="1:18" x14ac:dyDescent="0.35">
      <c r="F13" s="1">
        <v>117483</v>
      </c>
    </row>
    <row r="14" spans="1:18" x14ac:dyDescent="0.35">
      <c r="F14" s="1">
        <v>27865.96</v>
      </c>
    </row>
    <row r="15" spans="1:18" x14ac:dyDescent="0.35">
      <c r="F15" s="1">
        <f>SUM(F13:F14)</f>
        <v>145348.96</v>
      </c>
    </row>
  </sheetData>
  <mergeCells count="4">
    <mergeCell ref="D1:E1"/>
    <mergeCell ref="G1:H1"/>
    <mergeCell ref="J1:K1"/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7D50-E59B-49D8-9AD1-699C4F924DA2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Mohd, Shariq</dc:creator>
  <cp:lastModifiedBy>Mohd, Shariq</cp:lastModifiedBy>
  <dcterms:created xsi:type="dcterms:W3CDTF">2023-01-14T10:04:23Z</dcterms:created>
  <dcterms:modified xsi:type="dcterms:W3CDTF">2023-01-15T17:43:17Z</dcterms:modified>
</cp:coreProperties>
</file>