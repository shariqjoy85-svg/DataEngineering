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shariq_mohd_kochgs_com/Documents/Prev Employment/"/>
    </mc:Choice>
  </mc:AlternateContent>
  <xr:revisionPtr revIDLastSave="198" documentId="8_{A5052FDD-728F-465C-9D1B-271531608036}" xr6:coauthVersionLast="47" xr6:coauthVersionMax="47" xr10:uidLastSave="{23AE0AAD-8AAC-4A92-8A30-E28D70DFC593}"/>
  <bookViews>
    <workbookView xWindow="-110" yWindow="-110" windowWidth="19420" windowHeight="10300" activeTab="2" xr2:uid="{39C01618-2FAA-42F0-B8F0-D76FF71E8F01}"/>
  </bookViews>
  <sheets>
    <sheet name="FnF" sheetId="1" r:id="rId1"/>
    <sheet name="Monthly Tax" sheetId="2" r:id="rId2"/>
    <sheet name="IT Stmt" sheetId="3" r:id="rId3"/>
  </sheets>
  <definedNames>
    <definedName name="_xlnm._FilterDatabase" localSheetId="2" hidden="1">'IT Stmt'!$B$2:$D$33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B23" i="3"/>
  <c r="C22" i="3"/>
  <c r="L16" i="3"/>
  <c r="N10" i="3"/>
  <c r="J10" i="3"/>
  <c r="M6" i="3"/>
  <c r="H11" i="3"/>
  <c r="H12" i="3" s="1"/>
  <c r="K8" i="3"/>
  <c r="B11" i="3"/>
  <c r="B12" i="3" s="1"/>
  <c r="E6" i="3"/>
  <c r="E8" i="3" s="1"/>
  <c r="J10" i="1"/>
  <c r="J8" i="1"/>
  <c r="G13" i="1"/>
  <c r="G14" i="1" s="1"/>
  <c r="E3" i="1"/>
  <c r="E4" i="1"/>
  <c r="B9" i="1"/>
  <c r="B11" i="1" s="1"/>
  <c r="B14" i="2"/>
  <c r="F7" i="2"/>
  <c r="F4" i="2"/>
</calcChain>
</file>

<file path=xl/sharedStrings.xml><?xml version="1.0" encoding="utf-8"?>
<sst xmlns="http://schemas.openxmlformats.org/spreadsheetml/2006/main" count="61" uniqueCount="32">
  <si>
    <t>HCL</t>
  </si>
  <si>
    <t>Month</t>
  </si>
  <si>
    <t>Amount</t>
  </si>
  <si>
    <t>HRA</t>
  </si>
  <si>
    <t>LTA</t>
  </si>
  <si>
    <t>Leave Sal Exemp</t>
  </si>
  <si>
    <t>Prof Tax</t>
  </si>
  <si>
    <t>As per HCL IT Stmt</t>
  </si>
  <si>
    <t>Total Gross</t>
  </si>
  <si>
    <t>Taxable Gross Sal</t>
  </si>
  <si>
    <t>Stan Ded</t>
  </si>
  <si>
    <t>Invst</t>
  </si>
  <si>
    <t>Stand Ded</t>
  </si>
  <si>
    <t>LTA extemp</t>
  </si>
  <si>
    <t>Leav Sal Exem</t>
  </si>
  <si>
    <t>PF</t>
  </si>
  <si>
    <t>PPF</t>
  </si>
  <si>
    <t>Tax Laib</t>
  </si>
  <si>
    <t>Cess</t>
  </si>
  <si>
    <t>New</t>
  </si>
  <si>
    <t>Tax Ded</t>
  </si>
  <si>
    <t>Pay Tax</t>
  </si>
  <si>
    <t>Old</t>
  </si>
  <si>
    <t>Tax Liability</t>
  </si>
  <si>
    <t>Koch Tax</t>
  </si>
  <si>
    <t>HCL Tax</t>
  </si>
  <si>
    <t>Form 16 HCL</t>
  </si>
  <si>
    <t>Gross Sal</t>
  </si>
  <si>
    <t>Leav Cash</t>
  </si>
  <si>
    <t>Emp Tax</t>
  </si>
  <si>
    <t>PPF Ded</t>
  </si>
  <si>
    <t>Taxable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</si>
</sst>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" fontId="0" fillId="0" borderId="0" xfId="0" applyNumberFormat="1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NumberFormat="1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4" borderId="0" xfId="0" applyFill="1" applyAlignment="1">
      <alignment horizontal="left"/>
    </xf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2134-7D85-4BAB-B209-BE362C81105E}">
  <dimension ref="A2:J14"/>
  <sheetViews>
    <sheetView topLeftCell="A21" workbookViewId="0">
      <selection activeCell="F24" sqref="F24"/>
    </sheetView>
  </sheetViews>
  <sheetFormatPr defaultRowHeight="14.5" x14ac:dyDescent="0.35"/>
  <cols>
    <col min="1" max="1" width="17.90625" bestFit="1" customWidth="1"/>
    <col min="2" max="2" width="9.81640625" bestFit="1" customWidth="1"/>
    <col min="3" max="3" width="16.08984375" bestFit="1" customWidth="1"/>
    <col min="4" max="5" width="11.26953125" bestFit="1" customWidth="1"/>
    <col min="6" max="6" width="12.36328125" bestFit="1" customWidth="1"/>
    <col min="7" max="7" width="11.26953125" bestFit="1" customWidth="1"/>
    <col min="10" max="10" width="9.81640625" bestFit="1" customWidth="1"/>
  </cols>
  <sheetData>
    <row r="2" spans="1:10" x14ac:dyDescent="0.35">
      <c r="A2" s="4" t="s">
        <v>0</v>
      </c>
      <c r="B2" s="4"/>
    </row>
    <row r="3" spans="1:10" x14ac:dyDescent="0.35">
      <c r="A3" t="s">
        <v>10</v>
      </c>
      <c r="B3" s="2">
        <v>50000</v>
      </c>
      <c r="C3" t="s">
        <v>8</v>
      </c>
      <c r="D3" s="2">
        <v>1207283.07</v>
      </c>
      <c r="E3" s="2">
        <f>D3-B9</f>
        <v>1036040.81</v>
      </c>
    </row>
    <row r="4" spans="1:10" x14ac:dyDescent="0.35">
      <c r="A4" t="s">
        <v>11</v>
      </c>
      <c r="B4" s="2">
        <v>107432</v>
      </c>
      <c r="C4" t="s">
        <v>9</v>
      </c>
      <c r="D4" s="2">
        <v>1356773.07</v>
      </c>
      <c r="E4" s="2">
        <f>D4-B9</f>
        <v>1185530.81</v>
      </c>
      <c r="F4" s="5" t="s">
        <v>19</v>
      </c>
      <c r="G4" s="5"/>
      <c r="H4" s="5"/>
      <c r="I4" s="5"/>
      <c r="J4" s="5"/>
    </row>
    <row r="5" spans="1:10" x14ac:dyDescent="0.35">
      <c r="A5" t="s">
        <v>3</v>
      </c>
      <c r="B5" s="2">
        <v>128781.9</v>
      </c>
      <c r="D5" s="2"/>
      <c r="G5" s="2">
        <v>1356773.07</v>
      </c>
    </row>
    <row r="6" spans="1:10" x14ac:dyDescent="0.35">
      <c r="A6" t="s">
        <v>4</v>
      </c>
      <c r="B6" s="2">
        <v>14608</v>
      </c>
      <c r="F6" t="s">
        <v>12</v>
      </c>
      <c r="G6" s="2">
        <v>50000</v>
      </c>
      <c r="I6" t="s">
        <v>17</v>
      </c>
      <c r="J6" s="2">
        <v>122847</v>
      </c>
    </row>
    <row r="7" spans="1:10" x14ac:dyDescent="0.35">
      <c r="A7" t="s">
        <v>5</v>
      </c>
      <c r="B7" s="2">
        <v>26052.36</v>
      </c>
      <c r="D7" s="2"/>
      <c r="F7" t="s">
        <v>13</v>
      </c>
      <c r="G7" s="2">
        <v>14608</v>
      </c>
      <c r="I7" t="s">
        <v>18</v>
      </c>
      <c r="J7" s="2">
        <v>4913.88</v>
      </c>
    </row>
    <row r="8" spans="1:10" x14ac:dyDescent="0.35">
      <c r="A8" t="s">
        <v>6</v>
      </c>
      <c r="B8" s="2">
        <v>1800</v>
      </c>
      <c r="F8" t="s">
        <v>14</v>
      </c>
      <c r="G8" s="2">
        <v>26052.36</v>
      </c>
      <c r="I8" t="s">
        <v>21</v>
      </c>
      <c r="J8" s="2">
        <f>SUM(J6:J7)</f>
        <v>127760.88</v>
      </c>
    </row>
    <row r="9" spans="1:10" x14ac:dyDescent="0.35">
      <c r="B9" s="2">
        <f>SUM(B5:B8)</f>
        <v>171242.26</v>
      </c>
      <c r="F9" t="s">
        <v>3</v>
      </c>
      <c r="G9" s="2">
        <v>128781.9</v>
      </c>
      <c r="I9" t="s">
        <v>20</v>
      </c>
      <c r="J9" s="2">
        <v>69306</v>
      </c>
    </row>
    <row r="10" spans="1:10" x14ac:dyDescent="0.35">
      <c r="A10" t="s">
        <v>7</v>
      </c>
      <c r="B10" s="2">
        <v>163055.16</v>
      </c>
      <c r="F10" t="s">
        <v>6</v>
      </c>
      <c r="G10" s="2">
        <v>1800</v>
      </c>
      <c r="J10" s="2">
        <f>J8-J9</f>
        <v>58454.880000000005</v>
      </c>
    </row>
    <row r="11" spans="1:10" x14ac:dyDescent="0.35">
      <c r="B11" s="2">
        <f>B9-B10</f>
        <v>8187.1000000000058</v>
      </c>
      <c r="F11" t="s">
        <v>15</v>
      </c>
      <c r="G11" s="2">
        <v>66432</v>
      </c>
    </row>
    <row r="12" spans="1:10" x14ac:dyDescent="0.35">
      <c r="F12" t="s">
        <v>16</v>
      </c>
      <c r="G12" s="2">
        <v>41000</v>
      </c>
    </row>
    <row r="13" spans="1:10" x14ac:dyDescent="0.35">
      <c r="G13" s="2">
        <f>SUM(G6:G12)</f>
        <v>328674.26</v>
      </c>
    </row>
    <row r="14" spans="1:10" x14ac:dyDescent="0.35">
      <c r="G14" s="2">
        <f>G5-G13</f>
        <v>1028098.81</v>
      </c>
    </row>
  </sheetData>
  <mergeCells count="2">
    <mergeCell ref="A2:B2"/>
    <mergeCell ref="F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F7EB-95F4-4E1A-901D-25CCDB07A1C4}">
  <dimension ref="A2:F15"/>
  <sheetViews>
    <sheetView workbookViewId="0">
      <selection activeCell="B8" sqref="B8"/>
    </sheetView>
  </sheetViews>
  <sheetFormatPr defaultRowHeight="14.5" x14ac:dyDescent="0.35"/>
  <cols>
    <col min="4" max="4" width="9.81640625" bestFit="1" customWidth="1"/>
    <col min="6" max="6" width="9.81640625" bestFit="1" customWidth="1"/>
  </cols>
  <sheetData>
    <row r="2" spans="1:6" x14ac:dyDescent="0.35">
      <c r="A2" s="4" t="s">
        <v>0</v>
      </c>
      <c r="B2" s="4"/>
    </row>
    <row r="3" spans="1:6" x14ac:dyDescent="0.35">
      <c r="A3" t="s">
        <v>1</v>
      </c>
      <c r="B3" t="s">
        <v>2</v>
      </c>
    </row>
    <row r="4" spans="1:6" x14ac:dyDescent="0.35">
      <c r="A4" s="1">
        <v>44652</v>
      </c>
      <c r="B4">
        <v>11861</v>
      </c>
      <c r="D4" s="2">
        <v>145348.96</v>
      </c>
      <c r="E4" s="2">
        <v>27865.96</v>
      </c>
      <c r="F4" s="2">
        <f>D4-E4</f>
        <v>117483</v>
      </c>
    </row>
    <row r="5" spans="1:6" x14ac:dyDescent="0.35">
      <c r="A5" s="1">
        <v>44682</v>
      </c>
      <c r="B5">
        <v>55096</v>
      </c>
      <c r="F5" s="2">
        <v>69306</v>
      </c>
    </row>
    <row r="6" spans="1:6" x14ac:dyDescent="0.35">
      <c r="A6" s="1">
        <v>44713</v>
      </c>
      <c r="B6">
        <v>1697</v>
      </c>
      <c r="F6" s="2">
        <v>53826</v>
      </c>
    </row>
    <row r="7" spans="1:6" x14ac:dyDescent="0.35">
      <c r="A7" s="1">
        <v>44743</v>
      </c>
      <c r="B7">
        <v>313</v>
      </c>
      <c r="F7" s="2">
        <f>SUM(F5:F6)</f>
        <v>123132</v>
      </c>
    </row>
    <row r="8" spans="1:6" x14ac:dyDescent="0.35">
      <c r="A8" s="1">
        <v>44774</v>
      </c>
      <c r="B8">
        <v>339</v>
      </c>
    </row>
    <row r="9" spans="1:6" x14ac:dyDescent="0.35">
      <c r="A9" s="1">
        <v>44805</v>
      </c>
      <c r="B9">
        <v>0</v>
      </c>
    </row>
    <row r="10" spans="1:6" x14ac:dyDescent="0.35">
      <c r="A10" s="1">
        <v>44835</v>
      </c>
      <c r="B10">
        <v>0</v>
      </c>
    </row>
    <row r="11" spans="1:6" x14ac:dyDescent="0.35">
      <c r="A11" s="1">
        <v>44866</v>
      </c>
      <c r="B11">
        <v>0</v>
      </c>
    </row>
    <row r="12" spans="1:6" x14ac:dyDescent="0.35">
      <c r="A12" s="1">
        <v>44896</v>
      </c>
      <c r="B12">
        <v>0</v>
      </c>
    </row>
    <row r="13" spans="1:6" x14ac:dyDescent="0.35">
      <c r="A13" s="1">
        <v>44927</v>
      </c>
      <c r="B13">
        <v>0</v>
      </c>
    </row>
    <row r="14" spans="1:6" x14ac:dyDescent="0.35">
      <c r="A14" s="1"/>
      <c r="B14">
        <f>SUM(B4:B13)</f>
        <v>69306</v>
      </c>
    </row>
    <row r="15" spans="1:6" x14ac:dyDescent="0.35">
      <c r="A15" s="1">
        <v>44958</v>
      </c>
      <c r="B15">
        <v>58445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C6AF-D9D2-4E3A-93A4-520EA737AD52}">
  <dimension ref="A2:O34"/>
  <sheetViews>
    <sheetView tabSelected="1" topLeftCell="A5" workbookViewId="0">
      <selection activeCell="E18" sqref="E18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7.453125" bestFit="1" customWidth="1"/>
    <col min="4" max="4" width="7.81640625" bestFit="1" customWidth="1"/>
    <col min="5" max="5" width="9.81640625" bestFit="1" customWidth="1"/>
    <col min="7" max="7" width="12.36328125" bestFit="1" customWidth="1"/>
    <col min="8" max="8" width="11.26953125" bestFit="1" customWidth="1"/>
    <col min="10" max="11" width="9.81640625" bestFit="1" customWidth="1"/>
    <col min="13" max="13" width="11.26953125" bestFit="1" customWidth="1"/>
    <col min="14" max="14" width="7.7265625" bestFit="1" customWidth="1"/>
  </cols>
  <sheetData>
    <row r="2" spans="1:15" x14ac:dyDescent="0.35">
      <c r="A2" s="5" t="s">
        <v>19</v>
      </c>
      <c r="B2" s="5"/>
      <c r="C2" s="5"/>
      <c r="D2" s="5"/>
      <c r="E2" s="5"/>
      <c r="G2" s="5" t="s">
        <v>22</v>
      </c>
      <c r="H2" s="5"/>
      <c r="I2" s="5"/>
      <c r="J2" s="5"/>
      <c r="K2" s="5"/>
    </row>
    <row r="3" spans="1:15" x14ac:dyDescent="0.35">
      <c r="B3" s="2">
        <v>1356773.07</v>
      </c>
      <c r="H3" s="2">
        <v>1356773.07</v>
      </c>
    </row>
    <row r="4" spans="1:15" x14ac:dyDescent="0.35">
      <c r="A4" t="s">
        <v>12</v>
      </c>
      <c r="B4" s="2">
        <v>50000</v>
      </c>
      <c r="D4" t="s">
        <v>17</v>
      </c>
      <c r="E4" s="2">
        <v>122847</v>
      </c>
      <c r="G4" t="s">
        <v>12</v>
      </c>
      <c r="H4" s="2">
        <v>50000</v>
      </c>
      <c r="J4" t="s">
        <v>17</v>
      </c>
      <c r="K4" s="2">
        <v>14884</v>
      </c>
      <c r="M4" s="2">
        <v>1356773.07</v>
      </c>
    </row>
    <row r="5" spans="1:15" x14ac:dyDescent="0.35">
      <c r="A5" t="s">
        <v>13</v>
      </c>
      <c r="B5" s="2">
        <v>14608</v>
      </c>
      <c r="D5" t="s">
        <v>18</v>
      </c>
      <c r="E5" s="2">
        <v>4913.88</v>
      </c>
      <c r="G5" t="s">
        <v>13</v>
      </c>
      <c r="H5" s="2">
        <v>14608</v>
      </c>
      <c r="J5" t="s">
        <v>18</v>
      </c>
      <c r="K5" s="2">
        <v>595.36</v>
      </c>
      <c r="M5">
        <v>-50000</v>
      </c>
    </row>
    <row r="6" spans="1:15" x14ac:dyDescent="0.35">
      <c r="A6" t="s">
        <v>14</v>
      </c>
      <c r="B6" s="2">
        <v>26052.36</v>
      </c>
      <c r="D6" t="s">
        <v>21</v>
      </c>
      <c r="E6" s="2">
        <f>SUM(E4:E5)</f>
        <v>127760.88</v>
      </c>
      <c r="G6" t="s">
        <v>14</v>
      </c>
      <c r="H6" s="2">
        <v>26052.36</v>
      </c>
      <c r="J6" t="s">
        <v>21</v>
      </c>
      <c r="K6" s="2">
        <v>15480</v>
      </c>
      <c r="M6" s="2">
        <f>SUM(M4:M5)</f>
        <v>1306773.07</v>
      </c>
    </row>
    <row r="7" spans="1:15" x14ac:dyDescent="0.35">
      <c r="A7" t="s">
        <v>3</v>
      </c>
      <c r="B7" s="2">
        <v>128781.9</v>
      </c>
      <c r="D7" t="s">
        <v>20</v>
      </c>
      <c r="E7" s="2">
        <v>69306</v>
      </c>
      <c r="G7" t="s">
        <v>3</v>
      </c>
      <c r="H7" s="2">
        <v>128781.9</v>
      </c>
      <c r="J7" t="s">
        <v>20</v>
      </c>
      <c r="K7" s="2">
        <v>69306</v>
      </c>
    </row>
    <row r="8" spans="1:15" x14ac:dyDescent="0.35">
      <c r="A8" t="s">
        <v>6</v>
      </c>
      <c r="B8" s="2">
        <v>1800</v>
      </c>
      <c r="E8" s="2">
        <f>E6-E7</f>
        <v>58454.880000000005</v>
      </c>
      <c r="G8" t="s">
        <v>6</v>
      </c>
      <c r="H8" s="2">
        <v>1800</v>
      </c>
      <c r="K8" s="2">
        <f>K6-K7</f>
        <v>-53826</v>
      </c>
      <c r="M8" t="s">
        <v>23</v>
      </c>
      <c r="N8">
        <v>125766</v>
      </c>
    </row>
    <row r="9" spans="1:15" x14ac:dyDescent="0.35">
      <c r="A9" t="s">
        <v>15</v>
      </c>
      <c r="B9" s="2">
        <v>66432</v>
      </c>
      <c r="G9" t="s">
        <v>15</v>
      </c>
      <c r="H9" s="2">
        <v>66432</v>
      </c>
      <c r="N9">
        <v>69306</v>
      </c>
      <c r="O9" s="2"/>
    </row>
    <row r="10" spans="1:15" x14ac:dyDescent="0.35">
      <c r="A10" t="s">
        <v>16</v>
      </c>
      <c r="B10" s="2">
        <v>41000</v>
      </c>
      <c r="G10" t="s">
        <v>16</v>
      </c>
      <c r="H10" s="2">
        <v>41000</v>
      </c>
      <c r="J10" s="2">
        <f>SUM(H9:H10)</f>
        <v>107432</v>
      </c>
      <c r="N10">
        <f>N8-N9</f>
        <v>56460</v>
      </c>
    </row>
    <row r="11" spans="1:15" x14ac:dyDescent="0.35">
      <c r="B11" s="2">
        <f>SUM(B4:B10)</f>
        <v>328674.26</v>
      </c>
      <c r="H11" s="2">
        <f>SUM(H4:H10)</f>
        <v>328674.26</v>
      </c>
    </row>
    <row r="12" spans="1:15" x14ac:dyDescent="0.35">
      <c r="B12" s="2">
        <f>B3-B11</f>
        <v>1028098.81</v>
      </c>
      <c r="H12" s="2">
        <f>H3-H11</f>
        <v>1028098.81</v>
      </c>
    </row>
    <row r="13" spans="1:15" x14ac:dyDescent="0.35">
      <c r="B13" s="3"/>
      <c r="C13" s="3"/>
    </row>
    <row r="14" spans="1:15" x14ac:dyDescent="0.35">
      <c r="B14" s="3"/>
      <c r="C14" s="3"/>
    </row>
    <row r="15" spans="1:15" x14ac:dyDescent="0.35">
      <c r="A15" s="6" t="s">
        <v>26</v>
      </c>
      <c r="B15" s="6"/>
      <c r="C15" s="3"/>
      <c r="J15" t="s">
        <v>24</v>
      </c>
      <c r="K15" t="s">
        <v>25</v>
      </c>
    </row>
    <row r="16" spans="1:15" x14ac:dyDescent="0.35">
      <c r="A16" s="8" t="s">
        <v>27</v>
      </c>
      <c r="B16" s="7">
        <v>1356773</v>
      </c>
      <c r="C16" s="3"/>
      <c r="J16">
        <v>295372</v>
      </c>
      <c r="K16" s="2">
        <v>69306</v>
      </c>
      <c r="L16">
        <f>SUM(J16:K16)</f>
        <v>364678</v>
      </c>
    </row>
    <row r="17" spans="1:6" x14ac:dyDescent="0.35">
      <c r="A17" s="9" t="s">
        <v>3</v>
      </c>
      <c r="B17" s="10">
        <v>-122395</v>
      </c>
      <c r="C17" s="3"/>
    </row>
    <row r="18" spans="1:6" x14ac:dyDescent="0.35">
      <c r="A18" s="11" t="s">
        <v>4</v>
      </c>
      <c r="B18" s="10">
        <v>-14608</v>
      </c>
      <c r="C18" s="3"/>
    </row>
    <row r="19" spans="1:6" x14ac:dyDescent="0.35">
      <c r="A19" s="11" t="s">
        <v>28</v>
      </c>
      <c r="B19" s="10">
        <v>-26052</v>
      </c>
      <c r="C19" s="10">
        <v>-163055</v>
      </c>
    </row>
    <row r="20" spans="1:6" x14ac:dyDescent="0.35">
      <c r="A20" s="12" t="s">
        <v>10</v>
      </c>
      <c r="B20" s="13">
        <v>-50000</v>
      </c>
      <c r="C20" s="3"/>
      <c r="F20">
        <v>1193718</v>
      </c>
    </row>
    <row r="21" spans="1:6" x14ac:dyDescent="0.35">
      <c r="A21" s="12" t="s">
        <v>29</v>
      </c>
      <c r="B21" s="13">
        <v>-1800</v>
      </c>
      <c r="C21" s="3"/>
    </row>
    <row r="22" spans="1:6" x14ac:dyDescent="0.35">
      <c r="A22" s="12" t="s">
        <v>30</v>
      </c>
      <c r="B22" s="13">
        <v>-107432</v>
      </c>
      <c r="C22" s="7">
        <f>SUM(B20:B22)</f>
        <v>-159232</v>
      </c>
    </row>
    <row r="23" spans="1:6" x14ac:dyDescent="0.35">
      <c r="A23" s="14" t="s">
        <v>31</v>
      </c>
      <c r="B23" s="15">
        <f>SUM(B16:B22)</f>
        <v>1034486</v>
      </c>
      <c r="C23" s="3"/>
      <c r="D23">
        <f>B23+50000+1800</f>
        <v>1086286</v>
      </c>
    </row>
    <row r="24" spans="1:6" x14ac:dyDescent="0.35">
      <c r="B24" s="3"/>
      <c r="C24" s="3"/>
    </row>
    <row r="25" spans="1:6" x14ac:dyDescent="0.35">
      <c r="B25" s="3"/>
      <c r="C25" s="3"/>
    </row>
    <row r="26" spans="1:6" x14ac:dyDescent="0.35">
      <c r="B26" s="3"/>
      <c r="C26" s="3"/>
    </row>
    <row r="27" spans="1:6" x14ac:dyDescent="0.35">
      <c r="B27" s="3"/>
      <c r="C27" s="3"/>
    </row>
    <row r="28" spans="1:6" x14ac:dyDescent="0.35">
      <c r="B28" s="3"/>
      <c r="C28" s="3"/>
    </row>
    <row r="29" spans="1:6" x14ac:dyDescent="0.35">
      <c r="B29" s="3"/>
      <c r="C29" s="3"/>
    </row>
    <row r="30" spans="1:6" x14ac:dyDescent="0.35">
      <c r="B30" s="3"/>
      <c r="C30" s="3"/>
    </row>
    <row r="31" spans="1:6" x14ac:dyDescent="0.35">
      <c r="B31" s="3"/>
      <c r="C31" s="3"/>
    </row>
    <row r="32" spans="1:6" x14ac:dyDescent="0.35">
      <c r="B32" s="3"/>
      <c r="C32" s="3"/>
    </row>
    <row r="33" spans="2:3" x14ac:dyDescent="0.35">
      <c r="B33" s="3"/>
      <c r="C33" s="3"/>
    </row>
    <row r="34" spans="2:3" x14ac:dyDescent="0.35">
      <c r="B34" s="3"/>
    </row>
  </sheetData>
  <mergeCells count="3">
    <mergeCell ref="A2:E2"/>
    <mergeCell ref="G2:K2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FnF</vt:lpstr>
      <vt:lpstr>Monthly Tax</vt:lpstr>
      <vt:lpstr>IT Stmt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Mohd, Shariq</dc:creator>
  <cp:lastModifiedBy>Mohd, Shariq</cp:lastModifiedBy>
  <dcterms:created xsi:type="dcterms:W3CDTF">2023-06-26T18:40:54Z</dcterms:created>
  <dcterms:modified xsi:type="dcterms:W3CDTF">2023-07-04T20:14:58Z</dcterms:modified>
</cp:coreProperties>
</file>