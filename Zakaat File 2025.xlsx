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shariq_mohd_kochcc_com/Documents/Shariq/"/>
    </mc:Choice>
  </mc:AlternateContent>
  <xr:revisionPtr revIDLastSave="579" documentId="11_C421D26675EEA51640AFEC1910CFF86005EB9D0D" xr6:coauthVersionLast="47" xr6:coauthVersionMax="47" xr10:uidLastSave="{99CFFF18-49CA-41AD-A064-C85C232C5D88}"/>
  <bookViews>
    <workbookView xWindow="-110" yWindow="-110" windowWidth="19420" windowHeight="10300" xr2:uid="{00000000-000D-0000-FFFF-FFFF00000000}"/>
  </bookViews>
  <sheets>
    <sheet name="Bank" sheetId="2" r:id="rId1"/>
    <sheet name="interest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y1h/7v1pCjaAw+aoPmmO9yw+NSehaV62Sd/maF9dLA="/>
    </ext>
  </extLst>
</workbook>
</file>

<file path=xl/calcChain.xml><?xml version="1.0" encoding="utf-8"?>
<calcChain xmlns="http://schemas.openxmlformats.org/spreadsheetml/2006/main">
  <c r="K2" i="2" l="1"/>
  <c r="K16" i="2" s="1"/>
  <c r="L10" i="2"/>
  <c r="L12" i="2"/>
  <c r="K10" i="2"/>
  <c r="M6" i="2"/>
  <c r="N20" i="2"/>
  <c r="O20" i="2" s="1"/>
  <c r="O6" i="2"/>
  <c r="I4" i="2"/>
  <c r="J2" i="2"/>
  <c r="F16" i="2"/>
  <c r="F17" i="2" s="1"/>
  <c r="I10" i="2"/>
  <c r="J4" i="2"/>
  <c r="H4" i="2"/>
  <c r="K7" i="3"/>
  <c r="K6" i="3"/>
  <c r="I2" i="2"/>
  <c r="J6" i="3"/>
  <c r="H10" i="2"/>
  <c r="G24" i="2"/>
  <c r="J10" i="2"/>
  <c r="B9" i="3"/>
  <c r="G10" i="2"/>
  <c r="F10" i="2"/>
  <c r="G4" i="2"/>
  <c r="H2" i="2"/>
  <c r="G2" i="2"/>
  <c r="G16" i="2" s="1"/>
  <c r="G17" i="2" s="1"/>
  <c r="D2" i="2"/>
  <c r="C2" i="2"/>
  <c r="K17" i="2" l="1"/>
  <c r="K12" i="2" s="1"/>
  <c r="J16" i="2"/>
  <c r="I16" i="2"/>
  <c r="H16" i="2"/>
  <c r="K19" i="2" l="1"/>
  <c r="G12" i="2"/>
  <c r="H17" i="2" s="1"/>
  <c r="H12" i="2" s="1"/>
  <c r="I17" i="2" l="1"/>
  <c r="I12" i="2" s="1"/>
  <c r="J17" i="2" s="1"/>
  <c r="J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Mohd, Shariq</author>
  </authors>
  <commentList>
    <comment ref="F1" authorId="0" shapeId="0" xr:uid="{00000000-0006-0000-0100-000003000000}">
      <text>
        <r>
          <rPr>
            <sz val="11"/>
            <color rgb="FF000000"/>
            <rFont val="Arial"/>
            <scheme val="minor"/>
          </rPr>
          <t>======
ID#AAAAye875c8
Mohd Shariq    (2023-06-04 08:25:02)
Calculated on 20th May 2020</t>
        </r>
      </text>
    </comment>
    <comment ref="G1" authorId="0" shapeId="0" xr:uid="{00000000-0006-0000-0100-000006000000}">
      <text>
        <r>
          <rPr>
            <sz val="11"/>
            <color rgb="FF000000"/>
            <rFont val="Arial"/>
            <scheme val="minor"/>
          </rPr>
          <t>======
ID#AAAAye875dA
Mohd Shariq    (2023-06-04 08:25:02)
Calculated on 11th May 2021</t>
        </r>
      </text>
    </comment>
    <comment ref="H1" authorId="0" shapeId="0" xr:uid="{00000000-0006-0000-0100-000009000000}">
      <text>
        <r>
          <rPr>
            <sz val="11"/>
            <color rgb="FF000000"/>
            <rFont val="Arial"/>
            <scheme val="minor"/>
          </rPr>
          <t>Calculated on 30 Apr 2022</t>
        </r>
      </text>
    </comment>
    <comment ref="I1" authorId="1" shapeId="0" xr:uid="{DC5A6AEF-F9CD-4370-A361-156E7B9FD9A6}">
      <text>
        <r>
          <rPr>
            <b/>
            <sz val="9"/>
            <color indexed="81"/>
            <rFont val="Tahoma"/>
            <family val="2"/>
          </rPr>
          <t>Mohd, Shariq:</t>
        </r>
        <r>
          <rPr>
            <sz val="9"/>
            <color indexed="81"/>
            <rFont val="Tahoma"/>
            <family val="2"/>
          </rPr>
          <t xml:space="preserve">
Late note on 9th Apr 24.
28th Ramzan was on 19th Apr 23</t>
        </r>
      </text>
    </comment>
    <comment ref="J1" authorId="1" shapeId="0" xr:uid="{E651F3BD-D01B-4366-8FE7-EB2F4D2045A9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9th Apr 2024 
29th Ramzan</t>
        </r>
      </text>
    </comment>
    <comment ref="K1" authorId="1" shapeId="0" xr:uid="{EE6CD05A-38AA-4C71-8DF0-C41ECAD6BED2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29th Ramdan.
30th Mar</t>
        </r>
      </text>
    </comment>
    <comment ref="G2" authorId="0" shapeId="0" xr:uid="{00000000-0006-0000-0100-000001000000}">
      <text>
        <r>
          <rPr>
            <sz val="11"/>
            <color rgb="FF000000"/>
            <rFont val="Arial"/>
            <scheme val="minor"/>
          </rPr>
          <t>======
ID#AAAAye875dU
Mohd Shariq    (2023-06-04 08:25:02)
Sav:  2541288.39
Sal:   62102
Cash: 292500</t>
        </r>
      </text>
    </comment>
    <comment ref="H2" authorId="0" shapeId="0" xr:uid="{00000000-0006-0000-0100-000008000000}">
      <text>
        <r>
          <rPr>
            <sz val="11"/>
            <color rgb="FF000000"/>
            <rFont val="Arial"/>
            <scheme val="minor"/>
          </rPr>
          <t>Sav:  3046336
Sal:   162671
Cash: 300000</t>
        </r>
      </text>
    </comment>
    <comment ref="I2" authorId="1" shapeId="0" xr:uid="{5C115552-F77D-4F31-A9D9-E69E1F8AE5B8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Sav: 4442979
Sal:  40492</t>
        </r>
      </text>
    </comment>
    <comment ref="G4" authorId="0" shapeId="0" xr:uid="{00000000-0006-0000-0100-000007000000}">
      <text>
        <r>
          <rPr>
            <sz val="11"/>
            <color rgb="FF000000"/>
            <rFont val="Arial"/>
            <scheme val="minor"/>
          </rPr>
          <t>======
ID#AAAAye875dM
Mohd Shariq    (2023-06-04 08:25:02)
400000(PPF) + 268035.12 (ESOP current value 3002 euros)</t>
        </r>
      </text>
    </comment>
    <comment ref="H4" authorId="0" shapeId="0" xr:uid="{00000000-0006-0000-0100-00000B000000}">
      <text>
        <r>
          <rPr>
            <sz val="11"/>
            <color rgb="FF000000"/>
            <rFont val="Arial"/>
            <scheme val="minor"/>
          </rPr>
          <t>PPF:500000
ESOP: 336739.31 (ESOP current value 4069.23 euros)</t>
        </r>
      </text>
    </comment>
    <comment ref="I4" authorId="0" shapeId="0" xr:uid="{3CB88182-7773-460D-8BC2-01355F4711B8}">
      <text>
        <r>
          <rPr>
            <sz val="8"/>
            <color rgb="FF000000"/>
            <rFont val="Arial"/>
            <family val="2"/>
            <scheme val="minor"/>
          </rPr>
          <t xml:space="preserve">PPF: 499500 (No deposit in calender year 2023, but 41K in FY)
ESOP: 334583 (ESOP current value 3710.17 euros)
</t>
        </r>
      </text>
    </comment>
    <comment ref="J4" authorId="1" shapeId="0" xr:uid="{8358E6F5-4BEA-4759-BDA5-427D2013A49B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Mohd Shariq 
PPF: 541000 
ESOP: 360533 (ESOP current value 3996.51 euros)</t>
        </r>
      </text>
    </comment>
    <comment ref="K4" authorId="1" shapeId="0" xr:uid="{186D3549-C97A-4FE7-8DA1-DF650EC1A560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Mohd Shariq 
PPF: 542000 
ESOP: 272714 (ESOP current value 2947.12 euros)</t>
        </r>
      </text>
    </comment>
    <comment ref="G6" authorId="0" shapeId="0" xr:uid="{00000000-0006-0000-0100-00000A000000}">
      <text>
        <r>
          <rPr>
            <sz val="11"/>
            <color rgb="FF000000"/>
            <rFont val="Arial"/>
            <scheme val="minor"/>
          </rPr>
          <t>======
ID#AAAAye875c4
Mohd Shariq    (2023-06-04 08:25:02)
11000 Salman
9300   Ammi
1130   HCL Bills</t>
        </r>
      </text>
    </comment>
    <comment ref="H6" authorId="0" shapeId="0" xr:uid="{00000000-0006-0000-0100-000004000000}">
      <text>
        <r>
          <rPr>
            <sz val="11"/>
            <color rgb="FF000000"/>
            <rFont val="Arial"/>
            <scheme val="minor"/>
          </rPr>
          <t>======
ID#AAAAye875dE
Mohd Shariq    (2023-06-04 08:25:02)
21500 Salman
11000  Abid</t>
        </r>
      </text>
    </comment>
    <comment ref="J6" authorId="1" shapeId="0" xr:uid="{7D665A6B-44F5-4D88-9FCF-73488A30719F}">
      <text>
        <r>
          <rPr>
            <b/>
            <sz val="9"/>
            <color indexed="81"/>
            <rFont val="Tahoma"/>
            <family val="2"/>
          </rPr>
          <t>Mohd, Shariq:</t>
        </r>
        <r>
          <rPr>
            <sz val="9"/>
            <color indexed="81"/>
            <rFont val="Tahoma"/>
            <family val="2"/>
          </rPr>
          <t xml:space="preserve">
From Zuhaib
</t>
        </r>
      </text>
    </comment>
    <comment ref="K6" authorId="1" shapeId="0" xr:uid="{060EAF7C-CAB0-4B37-9E33-4A10E273CB95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From Shiraz</t>
        </r>
      </text>
    </comment>
    <comment ref="D7" authorId="0" shapeId="0" xr:uid="{00000000-0006-0000-0100-000002000000}">
      <text>
        <r>
          <rPr>
            <sz val="11"/>
            <color rgb="FF000000"/>
            <rFont val="Arial"/>
            <scheme val="minor"/>
          </rPr>
          <t>======
ID#AAAAye875dI
Shariq, Mohd    (2023-06-04 08:25:02)
Interest till mar</t>
        </r>
      </text>
    </comment>
    <comment ref="D8" authorId="0" shapeId="0" xr:uid="{00000000-0006-0000-0100-000005000000}">
      <text>
        <r>
          <rPr>
            <sz val="11"/>
            <color rgb="FF000000"/>
            <rFont val="Arial"/>
            <scheme val="minor"/>
          </rPr>
          <t>======
ID#AAAAye875dQ
Shariq, Mohd    (2023-06-04 08:25:02)
Interest till mar</t>
        </r>
      </text>
    </comment>
    <comment ref="H9" authorId="1" shapeId="0" xr:uid="{4628D0AB-A888-4788-9274-D26AA43D1D45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FD Interest Jan22.</t>
        </r>
      </text>
    </comment>
    <comment ref="K9" authorId="1" shapeId="0" xr:uid="{5E1D5E7E-43B3-4C2C-B7BB-9B85DA3D7BD0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FD Int Dec 24</t>
        </r>
      </text>
    </comment>
    <comment ref="K10" authorId="1" shapeId="0" xr:uid="{E835A9FB-DD4C-4189-83EC-28179806F566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PPF Int not considered as its not under the ownership only on papers just like PF.</t>
        </r>
      </text>
    </comment>
    <comment ref="M13" authorId="1" shapeId="0" xr:uid="{10D990A6-7552-4803-890E-55CCA55AAAFE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30th May 2021-30Apr 2022</t>
        </r>
      </text>
    </comment>
    <comment ref="N13" authorId="1" shapeId="0" xr:uid="{81620975-7DEF-47FE-9851-D5A703C6D26A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30th May 2021-30Apr 2022</t>
        </r>
      </text>
    </comment>
    <comment ref="K15" authorId="1" shapeId="0" xr:uid="{E832F8B5-709C-496C-A295-C5FA3DC6B7CD}">
      <text>
        <r>
          <rPr>
            <b/>
            <sz val="9"/>
            <color indexed="81"/>
            <rFont val="Tahoma"/>
            <charset val="1"/>
          </rPr>
          <t>Mohd, Shariq:</t>
        </r>
        <r>
          <rPr>
            <sz val="9"/>
            <color indexed="81"/>
            <rFont val="Tahoma"/>
            <charset val="1"/>
          </rPr>
          <t xml:space="preserve">
TDS Deducted as on 30th Mar25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zfecrzn7L2IYZblUOTSqkAzJ2w=="/>
    </ext>
  </extLst>
</comments>
</file>

<file path=xl/sharedStrings.xml><?xml version="1.0" encoding="utf-8"?>
<sst xmlns="http://schemas.openxmlformats.org/spreadsheetml/2006/main" count="59" uniqueCount="54">
  <si>
    <t>Year</t>
  </si>
  <si>
    <t>Cash in Hand</t>
  </si>
  <si>
    <t>Wallet Cash</t>
  </si>
  <si>
    <t>Investments</t>
  </si>
  <si>
    <t>Rent Deposit</t>
  </si>
  <si>
    <t>Office Saving Int</t>
  </si>
  <si>
    <t>Personal Saving Int</t>
  </si>
  <si>
    <t>Total Intrest</t>
  </si>
  <si>
    <t>Liabilities</t>
  </si>
  <si>
    <t>Commission</t>
  </si>
  <si>
    <t>Total Cash</t>
  </si>
  <si>
    <t>Actuals_Cash</t>
  </si>
  <si>
    <t>Month</t>
  </si>
  <si>
    <t>Savings</t>
  </si>
  <si>
    <t>Salary</t>
  </si>
  <si>
    <t>June</t>
  </si>
  <si>
    <t>Sep</t>
  </si>
  <si>
    <t>Dec</t>
  </si>
  <si>
    <t>Mar</t>
  </si>
  <si>
    <t>Zakaat</t>
  </si>
  <si>
    <t>Zakaat out</t>
  </si>
  <si>
    <t>Sav</t>
  </si>
  <si>
    <t>Sal</t>
  </si>
  <si>
    <t>From Credit</t>
  </si>
  <si>
    <t>SAL</t>
  </si>
  <si>
    <t>SAV</t>
  </si>
  <si>
    <t>Jun-21</t>
  </si>
  <si>
    <t>Sep-21</t>
  </si>
  <si>
    <t>Dec-21</t>
  </si>
  <si>
    <t>Jun-22</t>
  </si>
  <si>
    <t>Mar-22</t>
  </si>
  <si>
    <t>Sep-22</t>
  </si>
  <si>
    <t>Dec-22</t>
  </si>
  <si>
    <t>Mar-24</t>
  </si>
  <si>
    <t>Mar-23</t>
  </si>
  <si>
    <t>May 2021-Apr 2024</t>
  </si>
  <si>
    <t>Jun-23</t>
  </si>
  <si>
    <t>Sep-23</t>
  </si>
  <si>
    <t>Dec-23</t>
  </si>
  <si>
    <t>Other Interest</t>
  </si>
  <si>
    <t>-</t>
  </si>
  <si>
    <t>PPF</t>
  </si>
  <si>
    <t>4/30/2022</t>
  </si>
  <si>
    <t>Closing Balance</t>
  </si>
  <si>
    <t>4/20/2023</t>
  </si>
  <si>
    <t>Jan-22</t>
  </si>
  <si>
    <t>FD</t>
  </si>
  <si>
    <t>Jun 23</t>
  </si>
  <si>
    <t>Dec 24</t>
  </si>
  <si>
    <t>Int PPF</t>
  </si>
  <si>
    <t>Int</t>
  </si>
  <si>
    <t>PPF Balance Mar 2025</t>
  </si>
  <si>
    <t>True Inv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</si>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</sst>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45]\ * #,##0_ ;_ [$₹-445]\ * \-#,##0_ ;_ [$₹-445]\ * &quot;-&quot;??_ ;_ @_ "/>
    <numFmt numFmtId="165" formatCode="_ [$₹-445]\ * #,##0.00_ ;_ [$₹-445]\ * \-#,##0.00_ ;_ [$₹-445]\ * &quot;-&quot;??_ ;_ @_ "/>
    <numFmt numFmtId="166" formatCode="0.0%"/>
  </numFmts>
  <fonts count="13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4B08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3" fontId="2" fillId="0" borderId="0" xfId="0" applyNumberFormat="1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1" fillId="0" borderId="1" xfId="0" applyFont="1" applyBorder="1"/>
    <xf numFmtId="166" fontId="2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1" fillId="2" borderId="2" xfId="0" applyFont="1" applyFill="1" applyBorder="1"/>
    <xf numFmtId="164" fontId="2" fillId="2" borderId="2" xfId="0" applyNumberFormat="1" applyFont="1" applyFill="1" applyBorder="1"/>
    <xf numFmtId="165" fontId="2" fillId="2" borderId="2" xfId="0" applyNumberFormat="1" applyFont="1" applyFill="1" applyBorder="1"/>
    <xf numFmtId="0" fontId="1" fillId="3" borderId="2" xfId="0" applyFont="1" applyFill="1" applyBorder="1"/>
    <xf numFmtId="164" fontId="2" fillId="3" borderId="2" xfId="0" applyNumberFormat="1" applyFont="1" applyFill="1" applyBorder="1"/>
    <xf numFmtId="17" fontId="0" fillId="0" borderId="0" xfId="0" applyNumberFormat="1"/>
    <xf numFmtId="164" fontId="2" fillId="0" borderId="2" xfId="0" quotePrefix="1" applyNumberFormat="1" applyFont="1" applyBorder="1"/>
    <xf numFmtId="16" fontId="0" fillId="0" borderId="2" xfId="0" quotePrefix="1" applyNumberFormat="1" applyBorder="1"/>
    <xf numFmtId="0" fontId="0" fillId="0" borderId="2" xfId="0" applyBorder="1"/>
    <xf numFmtId="0" fontId="6" fillId="0" borderId="2" xfId="0" applyFont="1" applyBorder="1"/>
    <xf numFmtId="0" fontId="7" fillId="0" borderId="0" xfId="0" applyFont="1"/>
    <xf numFmtId="0" fontId="6" fillId="0" borderId="0" xfId="0" applyFont="1"/>
    <xf numFmtId="0" fontId="7" fillId="0" borderId="2" xfId="0" applyFont="1" applyBorder="1"/>
    <xf numFmtId="0" fontId="8" fillId="0" borderId="0" xfId="0" applyFont="1" applyAlignment="1">
      <alignment horizontal="center"/>
    </xf>
    <xf numFmtId="16" fontId="7" fillId="0" borderId="0" xfId="0" quotePrefix="1" applyNumberFormat="1" applyFont="1"/>
    <xf numFmtId="16" fontId="0" fillId="0" borderId="0" xfId="0" applyNumberFormat="1"/>
    <xf numFmtId="164" fontId="11" fillId="2" borderId="2" xfId="0" applyNumberFormat="1" applyFont="1" applyFill="1" applyBorder="1"/>
    <xf numFmtId="0" fontId="1" fillId="0" borderId="0" xfId="0" applyFont="1"/>
    <xf numFmtId="164" fontId="2" fillId="0" borderId="0" xfId="0" quotePrefix="1" applyNumberFormat="1" applyFont="1"/>
    <xf numFmtId="165" fontId="2" fillId="0" borderId="0" xfId="0" applyNumberFormat="1" applyFont="1"/>
    <xf numFmtId="4" fontId="0" fillId="0" borderId="0" xfId="0" applyNumberFormat="1"/>
    <xf numFmtId="164" fontId="0" fillId="0" borderId="0" xfId="0" applyNumberFormat="1"/>
    <xf numFmtId="164" fontId="2" fillId="0" borderId="3" xfId="0" applyNumberFormat="1" applyFont="1" applyBorder="1"/>
    <xf numFmtId="164" fontId="2" fillId="0" borderId="4" xfId="0" applyNumberFormat="1" applyFont="1" applyBorder="1"/>
    <xf numFmtId="16" fontId="0" fillId="0" borderId="0" xfId="0" quotePrefix="1" applyNumberFormat="1"/>
    <xf numFmtId="0" fontId="1" fillId="4" borderId="2" xfId="0" applyFont="1" applyFill="1" applyBorder="1"/>
    <xf numFmtId="165" fontId="2" fillId="4" borderId="2" xfId="0" applyNumberFormat="1" applyFont="1" applyFill="1" applyBorder="1"/>
    <xf numFmtId="164" fontId="2" fillId="4" borderId="2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6"/>
  <sheetViews>
    <sheetView tabSelected="1" topLeftCell="B1" workbookViewId="0">
      <pane ySplit="1" topLeftCell="A2" activePane="bottomLeft" state="frozen"/>
      <selection pane="bottomLeft" activeCell="K2" sqref="K2"/>
    </sheetView>
  </sheetViews>
  <sheetFormatPr defaultColWidth="12.6640625" defaultRowHeight="15" customHeight="1" x14ac:dyDescent="0.3"/>
  <cols>
    <col min="1" max="1" width="23" customWidth="1"/>
    <col min="2" max="3" width="10" customWidth="1"/>
    <col min="4" max="7" width="11.6640625" customWidth="1"/>
    <col min="8" max="10" width="14.25" customWidth="1"/>
    <col min="11" max="12" width="11.6640625" customWidth="1"/>
    <col min="13" max="13" width="23.58203125" bestFit="1" customWidth="1"/>
    <col min="14" max="14" width="11.25" customWidth="1"/>
    <col min="15" max="16" width="12.6640625" customWidth="1"/>
    <col min="17" max="17" width="8.75" customWidth="1"/>
    <col min="18" max="29" width="14.4140625" customWidth="1"/>
  </cols>
  <sheetData>
    <row r="1" spans="1:17" ht="14.5" x14ac:dyDescent="0.35">
      <c r="A1" s="7" t="s">
        <v>0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2">
        <v>2025</v>
      </c>
      <c r="L1" s="2"/>
      <c r="O1" s="2"/>
      <c r="P1" s="38"/>
      <c r="Q1" s="39"/>
    </row>
    <row r="2" spans="1:17" ht="14.5" x14ac:dyDescent="0.35">
      <c r="A2" s="7" t="s">
        <v>1</v>
      </c>
      <c r="B2" s="9">
        <v>689986</v>
      </c>
      <c r="C2" s="9">
        <f>938498+43457</f>
        <v>981955</v>
      </c>
      <c r="D2" s="9">
        <f>1416671+21727</f>
        <v>1438398</v>
      </c>
      <c r="E2" s="9">
        <v>1861527</v>
      </c>
      <c r="F2" s="9">
        <v>2454039.54</v>
      </c>
      <c r="G2" s="9">
        <f>2603390.39+292500+23712</f>
        <v>2919602.39</v>
      </c>
      <c r="H2" s="9">
        <f>3046336+122671+300000</f>
        <v>3469007</v>
      </c>
      <c r="I2" s="16">
        <f>40492+4442979</f>
        <v>4483471</v>
      </c>
      <c r="J2" s="9">
        <f>264644+5571561</f>
        <v>5836205</v>
      </c>
      <c r="K2" s="3">
        <f>14262+7030382+116375</f>
        <v>7161019</v>
      </c>
      <c r="L2" s="28"/>
      <c r="M2" s="3"/>
      <c r="N2" s="3"/>
      <c r="O2" s="3"/>
      <c r="P2" s="3"/>
      <c r="Q2" s="3"/>
    </row>
    <row r="3" spans="1:17" ht="14.5" x14ac:dyDescent="0.35">
      <c r="A3" s="7" t="s">
        <v>2</v>
      </c>
      <c r="B3" s="9">
        <v>2170</v>
      </c>
      <c r="C3" s="9">
        <v>2720</v>
      </c>
      <c r="D3" s="9">
        <v>3668</v>
      </c>
      <c r="E3" s="9">
        <v>3708</v>
      </c>
      <c r="F3" s="9">
        <v>1053</v>
      </c>
      <c r="G3" s="9">
        <v>2290</v>
      </c>
      <c r="H3" s="9">
        <v>4770</v>
      </c>
      <c r="I3" s="9"/>
      <c r="J3" s="9">
        <v>2311</v>
      </c>
      <c r="K3" s="32">
        <v>7107</v>
      </c>
      <c r="L3" s="28"/>
      <c r="N3" s="40" t="s">
        <v>46</v>
      </c>
      <c r="O3" s="40"/>
    </row>
    <row r="4" spans="1:17" ht="14.5" x14ac:dyDescent="0.35">
      <c r="A4" s="7" t="s">
        <v>3</v>
      </c>
      <c r="B4" s="9"/>
      <c r="C4" s="9"/>
      <c r="D4" s="9"/>
      <c r="E4" s="9">
        <v>253000</v>
      </c>
      <c r="F4" s="9">
        <v>368965.45</v>
      </c>
      <c r="G4" s="9">
        <f>400000+268064.09</f>
        <v>668064.09000000008</v>
      </c>
      <c r="H4" s="9">
        <f>499500+328321.23</f>
        <v>827821.23</v>
      </c>
      <c r="I4" s="9">
        <f>499500+334583</f>
        <v>834083</v>
      </c>
      <c r="J4" s="9">
        <f>500000+360533</f>
        <v>860533</v>
      </c>
      <c r="K4" s="9">
        <v>814714</v>
      </c>
      <c r="L4" s="28"/>
      <c r="M4" s="29">
        <v>272714</v>
      </c>
      <c r="N4" s="34" t="s">
        <v>47</v>
      </c>
      <c r="O4">
        <v>4300000</v>
      </c>
    </row>
    <row r="5" spans="1:17" ht="14.5" x14ac:dyDescent="0.35">
      <c r="A5" s="7" t="s">
        <v>4</v>
      </c>
      <c r="B5" s="9"/>
      <c r="C5" s="9"/>
      <c r="D5" s="9"/>
      <c r="E5" s="9">
        <v>31500</v>
      </c>
      <c r="F5" s="9">
        <v>39000</v>
      </c>
      <c r="G5" s="9">
        <v>39500</v>
      </c>
      <c r="H5" s="9">
        <v>39500</v>
      </c>
      <c r="I5" s="9">
        <v>39500</v>
      </c>
      <c r="J5" s="9">
        <v>39000</v>
      </c>
      <c r="K5" s="9">
        <v>39000</v>
      </c>
      <c r="M5" s="29">
        <v>542000</v>
      </c>
      <c r="N5" s="34" t="s">
        <v>48</v>
      </c>
      <c r="O5">
        <v>-4728044</v>
      </c>
    </row>
    <row r="6" spans="1:17" ht="14.5" x14ac:dyDescent="0.35">
      <c r="A6" s="7" t="s">
        <v>23</v>
      </c>
      <c r="B6" s="9"/>
      <c r="C6" s="9"/>
      <c r="D6" s="9"/>
      <c r="E6" s="9"/>
      <c r="F6" s="9"/>
      <c r="G6" s="9">
        <v>21594</v>
      </c>
      <c r="H6" s="9">
        <v>32500</v>
      </c>
      <c r="I6" s="9">
        <v>39500</v>
      </c>
      <c r="J6" s="9">
        <v>120000</v>
      </c>
      <c r="K6" s="33">
        <v>300000</v>
      </c>
      <c r="M6" s="29">
        <f>SUM(M4:M5)</f>
        <v>814714</v>
      </c>
      <c r="O6">
        <f>SUM(O4:O5)</f>
        <v>-428044</v>
      </c>
    </row>
    <row r="7" spans="1:17" ht="14.5" x14ac:dyDescent="0.35">
      <c r="A7" s="10" t="s">
        <v>5</v>
      </c>
      <c r="B7" s="11">
        <v>-5489</v>
      </c>
      <c r="C7" s="11">
        <v>-407</v>
      </c>
      <c r="D7" s="11">
        <v>-207</v>
      </c>
      <c r="E7" s="11">
        <v>-598</v>
      </c>
      <c r="F7" s="11">
        <v>-433</v>
      </c>
      <c r="G7" s="11">
        <v>-2037</v>
      </c>
      <c r="H7" s="26">
        <v>-1356</v>
      </c>
      <c r="I7" s="26">
        <v>-12658</v>
      </c>
      <c r="J7" s="26">
        <v>-4836</v>
      </c>
      <c r="K7" s="26">
        <v>-5605</v>
      </c>
      <c r="L7" s="3"/>
      <c r="M7" s="4"/>
      <c r="N7" s="3"/>
      <c r="O7" s="29"/>
    </row>
    <row r="8" spans="1:17" ht="14.5" x14ac:dyDescent="0.35">
      <c r="A8" s="10" t="s">
        <v>6</v>
      </c>
      <c r="B8" s="11">
        <v>-14689</v>
      </c>
      <c r="C8" s="11">
        <v>-19590</v>
      </c>
      <c r="D8" s="11">
        <v>-30217</v>
      </c>
      <c r="E8" s="11">
        <v>-52935</v>
      </c>
      <c r="F8" s="11">
        <v>-71047</v>
      </c>
      <c r="G8" s="11">
        <v>-76960</v>
      </c>
      <c r="H8" s="26">
        <v>-34205</v>
      </c>
      <c r="I8" s="26">
        <v>-100810</v>
      </c>
      <c r="J8" s="26">
        <v>-30938</v>
      </c>
      <c r="K8" s="26">
        <v>-25879</v>
      </c>
      <c r="L8" s="3"/>
      <c r="M8" s="29">
        <v>334583</v>
      </c>
      <c r="O8" s="29"/>
    </row>
    <row r="9" spans="1:17" ht="14.5" x14ac:dyDescent="0.35">
      <c r="A9" s="10" t="s">
        <v>39</v>
      </c>
      <c r="B9" s="11"/>
      <c r="C9" s="11"/>
      <c r="D9" s="11"/>
      <c r="E9" s="11"/>
      <c r="F9" s="11"/>
      <c r="G9" s="11"/>
      <c r="H9" s="11">
        <v>-158681</v>
      </c>
      <c r="I9" s="11"/>
      <c r="J9" s="11"/>
      <c r="K9" s="11">
        <v>-428044</v>
      </c>
      <c r="L9" s="3"/>
      <c r="M9" s="29">
        <v>495000</v>
      </c>
      <c r="O9" s="29"/>
    </row>
    <row r="10" spans="1:17" ht="14.5" x14ac:dyDescent="0.35">
      <c r="A10" s="10" t="s">
        <v>7</v>
      </c>
      <c r="B10" s="11">
        <v>-20178</v>
      </c>
      <c r="C10" s="11">
        <v>-40175</v>
      </c>
      <c r="D10" s="11">
        <v>-30424</v>
      </c>
      <c r="E10" s="11">
        <v>-53533</v>
      </c>
      <c r="F10" s="11">
        <f t="shared" ref="F10:J10" si="0">SUM(F7:F8)</f>
        <v>-71480</v>
      </c>
      <c r="G10" s="11">
        <f t="shared" si="0"/>
        <v>-78997</v>
      </c>
      <c r="H10" s="11">
        <f>SUM(H7:H9)</f>
        <v>-194242</v>
      </c>
      <c r="I10" s="11">
        <f>SUM(I7:I9)</f>
        <v>-113468</v>
      </c>
      <c r="J10" s="11">
        <f t="shared" si="0"/>
        <v>-35774</v>
      </c>
      <c r="K10" s="11">
        <f>SUM(K7:K9)</f>
        <v>-459528</v>
      </c>
      <c r="L10" s="3">
        <f>SUM(B10:K10)</f>
        <v>-1097799</v>
      </c>
      <c r="M10" s="30"/>
      <c r="P10" s="29"/>
    </row>
    <row r="11" spans="1:17" ht="14.5" x14ac:dyDescent="0.35">
      <c r="A11" s="10" t="s">
        <v>8</v>
      </c>
      <c r="B11" s="11"/>
      <c r="C11" s="11"/>
      <c r="D11" s="11"/>
      <c r="E11" s="11">
        <v>-200</v>
      </c>
      <c r="F11" s="11"/>
      <c r="G11" s="11"/>
      <c r="H11" s="11"/>
      <c r="I11" s="11"/>
      <c r="J11" s="11"/>
      <c r="K11" s="11"/>
      <c r="M11" s="3"/>
    </row>
    <row r="12" spans="1:17" ht="14.5" x14ac:dyDescent="0.35">
      <c r="A12" s="10" t="s">
        <v>19</v>
      </c>
      <c r="B12" s="11">
        <v>-17164</v>
      </c>
      <c r="C12" s="11">
        <v>-23587.773125</v>
      </c>
      <c r="D12" s="11">
        <v>-35595.108406250001</v>
      </c>
      <c r="E12" s="11">
        <v>-48256.952961718751</v>
      </c>
      <c r="F12" s="11">
        <v>-64853.603887675788</v>
      </c>
      <c r="G12" s="11">
        <f t="shared" ref="G12:K12" si="1">-(G17*2.5%)</f>
        <v>-79152.651040483906</v>
      </c>
      <c r="H12" s="11">
        <f t="shared" si="1"/>
        <v>-90381.478514471804</v>
      </c>
      <c r="I12" s="11">
        <f t="shared" si="1"/>
        <v>-110859.13580161001</v>
      </c>
      <c r="J12" s="11">
        <f t="shared" si="1"/>
        <v>-142605.68240656974</v>
      </c>
      <c r="K12" s="11">
        <f t="shared" si="1"/>
        <v>-164147.11534640551</v>
      </c>
      <c r="L12" s="31">
        <f>SUM(B12:J12)</f>
        <v>-612456.38614377996</v>
      </c>
      <c r="M12" s="31"/>
    </row>
    <row r="13" spans="1:17" ht="14.5" x14ac:dyDescent="0.35">
      <c r="A13" s="10" t="s">
        <v>9</v>
      </c>
      <c r="B13" s="12"/>
      <c r="C13" s="12"/>
      <c r="D13" s="12">
        <v>-500</v>
      </c>
      <c r="E13" s="12"/>
      <c r="F13" s="12"/>
      <c r="G13" s="11"/>
      <c r="H13" s="11"/>
      <c r="I13" s="11"/>
      <c r="J13" s="11"/>
      <c r="K13" s="11"/>
      <c r="M13" s="24"/>
    </row>
    <row r="14" spans="1:17" ht="14.5" x14ac:dyDescent="0.35">
      <c r="A14" s="10" t="s">
        <v>20</v>
      </c>
      <c r="B14" s="12"/>
      <c r="C14" s="12"/>
      <c r="D14" s="12"/>
      <c r="E14" s="12"/>
      <c r="F14" s="12"/>
      <c r="G14" s="11"/>
      <c r="H14" s="11"/>
      <c r="I14" s="11"/>
      <c r="J14" s="11">
        <v>-45000</v>
      </c>
      <c r="K14" s="11"/>
      <c r="M14" s="25"/>
    </row>
    <row r="15" spans="1:17" ht="14.5" x14ac:dyDescent="0.35">
      <c r="A15" s="35" t="s">
        <v>53</v>
      </c>
      <c r="B15" s="36"/>
      <c r="C15" s="36"/>
      <c r="D15" s="36"/>
      <c r="E15" s="36"/>
      <c r="F15" s="36"/>
      <c r="G15" s="37"/>
      <c r="H15" s="37"/>
      <c r="I15" s="37">
        <v>364678</v>
      </c>
      <c r="J15" s="37">
        <v>659458</v>
      </c>
      <c r="K15" s="37">
        <v>947449</v>
      </c>
      <c r="M15" s="25"/>
    </row>
    <row r="16" spans="1:17" ht="14.5" x14ac:dyDescent="0.35">
      <c r="A16" s="13" t="s">
        <v>10</v>
      </c>
      <c r="B16" s="14">
        <v>689986</v>
      </c>
      <c r="C16" s="14">
        <v>984675</v>
      </c>
      <c r="D16" s="14">
        <v>1442066</v>
      </c>
      <c r="E16" s="14">
        <v>2149735</v>
      </c>
      <c r="F16" s="14">
        <f t="shared" ref="F16" si="2">SUM(F2:F6)</f>
        <v>2863057.99</v>
      </c>
      <c r="G16" s="14">
        <f t="shared" ref="G16:H16" si="3">SUM(G2:G6)</f>
        <v>3651050.4800000004</v>
      </c>
      <c r="H16" s="14">
        <f t="shared" si="3"/>
        <v>4373598.2300000004</v>
      </c>
      <c r="I16" s="14">
        <f t="shared" ref="I16:K16" si="4">SUM(I2:I6)</f>
        <v>5396554</v>
      </c>
      <c r="J16" s="14">
        <f t="shared" si="4"/>
        <v>6858049</v>
      </c>
      <c r="K16" s="14">
        <f t="shared" si="4"/>
        <v>8321840</v>
      </c>
      <c r="M16" s="25"/>
    </row>
    <row r="17" spans="1:16" ht="14.5" x14ac:dyDescent="0.35">
      <c r="A17" s="13" t="s">
        <v>11</v>
      </c>
      <c r="B17" s="14">
        <v>671978</v>
      </c>
      <c r="C17" s="14">
        <v>944500</v>
      </c>
      <c r="D17" s="14">
        <v>1371967</v>
      </c>
      <c r="E17" s="14">
        <v>1930278.11846875</v>
      </c>
      <c r="F17" s="14">
        <f>F16+SUM(B10:F10,B11:F11,B12:E12,B13:F13,B14:F14)</f>
        <v>2521964.1555070314</v>
      </c>
      <c r="G17" s="14">
        <f>G16+SUM(B10:G10,B11:G11,B12:F12,B13:G13,B14:G14)</f>
        <v>3166106.0416193558</v>
      </c>
      <c r="H17" s="14">
        <f>H16+SUM(B10:H10,B11:H11,B12:G12,B13:H13,B14:H14)</f>
        <v>3615259.1405788721</v>
      </c>
      <c r="I17" s="14">
        <f>I16+SUM(B10:I10,B11:I11,B12:H12,B13:I13,B14:I14)</f>
        <v>4434365.4320644001</v>
      </c>
      <c r="J17" s="14">
        <f>J16+SUM(B10:J10,B11:J11,B12:I12,B13:J13,B14:J14)</f>
        <v>5704227.2962627895</v>
      </c>
      <c r="K17" s="14">
        <f>K16+SUM(B10:K10,B11:K11,B12:J12,B13:K13,B14:K14)</f>
        <v>6565884.6138562197</v>
      </c>
      <c r="M17" s="25"/>
    </row>
    <row r="18" spans="1:16" ht="14.5" x14ac:dyDescent="0.35">
      <c r="A18" s="27"/>
      <c r="B18" s="3"/>
      <c r="C18" s="3"/>
      <c r="D18" s="3"/>
      <c r="E18" s="3"/>
      <c r="F18" s="3"/>
      <c r="G18" s="3"/>
      <c r="H18" s="3"/>
      <c r="I18" s="3"/>
      <c r="J18" s="3"/>
      <c r="M18" s="25"/>
    </row>
    <row r="19" spans="1:16" ht="14.5" x14ac:dyDescent="0.35">
      <c r="A19" s="27"/>
      <c r="B19" s="3"/>
      <c r="C19" s="3"/>
      <c r="D19" s="3"/>
      <c r="E19" s="3"/>
      <c r="F19" s="3"/>
      <c r="G19" s="3"/>
      <c r="H19" s="3"/>
      <c r="I19" s="3"/>
      <c r="J19" s="3"/>
      <c r="K19" s="31">
        <f>K16-K17</f>
        <v>1755955.3861437803</v>
      </c>
      <c r="M19" s="25" t="s">
        <v>51</v>
      </c>
      <c r="N19" t="s">
        <v>50</v>
      </c>
      <c r="O19" t="s">
        <v>52</v>
      </c>
      <c r="P19" t="s">
        <v>49</v>
      </c>
    </row>
    <row r="20" spans="1:16" ht="14.5" x14ac:dyDescent="0.35">
      <c r="A20" s="27"/>
      <c r="B20" s="3"/>
      <c r="C20" s="3"/>
      <c r="D20" s="3"/>
      <c r="E20" s="3"/>
      <c r="F20" s="3"/>
      <c r="G20" s="3"/>
      <c r="H20" s="3"/>
      <c r="I20" s="3"/>
      <c r="J20" s="3"/>
      <c r="M20">
        <v>717639</v>
      </c>
      <c r="N20">
        <f>SUM(P20:P26)</f>
        <v>175639</v>
      </c>
      <c r="O20">
        <f>M20-N20</f>
        <v>542000</v>
      </c>
      <c r="P20">
        <v>47478</v>
      </c>
    </row>
    <row r="21" spans="1:16" ht="14.5" x14ac:dyDescent="0.35">
      <c r="A21" s="27"/>
      <c r="B21" s="3"/>
      <c r="C21" s="3"/>
      <c r="D21" s="3"/>
      <c r="E21" s="3"/>
      <c r="F21" s="3"/>
      <c r="G21" s="3"/>
      <c r="H21" s="3"/>
      <c r="I21" s="3"/>
      <c r="J21" s="3"/>
      <c r="M21" s="25"/>
      <c r="P21">
        <v>42516</v>
      </c>
    </row>
    <row r="22" spans="1:16" ht="15" customHeight="1" x14ac:dyDescent="0.35">
      <c r="A22" s="5"/>
      <c r="B22" s="1"/>
      <c r="C22" s="1"/>
      <c r="D22" s="1"/>
      <c r="F22" s="24" t="s">
        <v>45</v>
      </c>
      <c r="G22">
        <v>2258681</v>
      </c>
      <c r="M22" s="25"/>
      <c r="P22">
        <v>33256</v>
      </c>
    </row>
    <row r="23" spans="1:16" ht="15" customHeight="1" x14ac:dyDescent="0.3">
      <c r="F23" s="15">
        <v>44013</v>
      </c>
      <c r="G23">
        <v>2100000</v>
      </c>
      <c r="P23">
        <v>24488</v>
      </c>
    </row>
    <row r="24" spans="1:16" ht="15" customHeight="1" x14ac:dyDescent="0.3">
      <c r="G24">
        <f>G22-G23</f>
        <v>158681</v>
      </c>
      <c r="P24">
        <v>16735</v>
      </c>
    </row>
    <row r="25" spans="1:16" ht="15" customHeight="1" x14ac:dyDescent="0.3">
      <c r="P25">
        <v>9899</v>
      </c>
    </row>
    <row r="26" spans="1:16" ht="15" customHeight="1" x14ac:dyDescent="0.3">
      <c r="P26">
        <v>1267</v>
      </c>
    </row>
    <row r="27" spans="1:16" ht="15.75" customHeight="1" x14ac:dyDescent="0.3"/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">
    <mergeCell ref="P1:Q1"/>
    <mergeCell ref="N3:O3"/>
  </mergeCells>
  <pageMargins left="0.7" right="0.7" top="0.75" bottom="0.75" header="0" footer="0"/>
  <pageSetup orientation="portrait"/>
  <headerFooter>
    <oddFooter>&amp;LAAAAAA _x000D_ Dell - Internal Use - Confidential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D1" workbookViewId="0">
      <selection activeCell="M6" sqref="M6"/>
    </sheetView>
  </sheetViews>
  <sheetFormatPr defaultColWidth="12.6640625" defaultRowHeight="15" customHeight="1" x14ac:dyDescent="0.3"/>
  <cols>
    <col min="1" max="6" width="8.75" customWidth="1"/>
    <col min="7" max="7" width="14.4140625" customWidth="1"/>
    <col min="8" max="8" width="3.75" customWidth="1"/>
    <col min="9" max="12" width="14.4140625" customWidth="1"/>
    <col min="13" max="13" width="17.5" bestFit="1" customWidth="1"/>
    <col min="14" max="31" width="14.4140625" customWidth="1"/>
  </cols>
  <sheetData>
    <row r="1" spans="1:15" ht="14.5" x14ac:dyDescent="0.35">
      <c r="A1" s="38">
        <v>2021</v>
      </c>
      <c r="B1" s="39"/>
      <c r="C1" s="39"/>
      <c r="E1" s="40" t="s">
        <v>35</v>
      </c>
      <c r="F1" s="40"/>
      <c r="I1" s="41" t="s">
        <v>41</v>
      </c>
      <c r="J1" s="41"/>
      <c r="K1" s="23"/>
      <c r="L1" s="23"/>
      <c r="M1" s="20" t="s">
        <v>43</v>
      </c>
    </row>
    <row r="2" spans="1:15" ht="14" x14ac:dyDescent="0.3">
      <c r="A2" s="4" t="s">
        <v>12</v>
      </c>
      <c r="B2" s="4" t="s">
        <v>13</v>
      </c>
      <c r="C2" s="4" t="s">
        <v>14</v>
      </c>
      <c r="E2" s="19" t="s">
        <v>12</v>
      </c>
      <c r="F2" s="19" t="s">
        <v>24</v>
      </c>
      <c r="G2" s="19" t="s">
        <v>25</v>
      </c>
      <c r="H2" s="21"/>
      <c r="I2" s="18">
        <v>2018</v>
      </c>
      <c r="J2" s="18">
        <v>100000</v>
      </c>
      <c r="M2">
        <v>102267</v>
      </c>
      <c r="N2" s="21" t="s">
        <v>22</v>
      </c>
      <c r="O2" s="24" t="s">
        <v>42</v>
      </c>
    </row>
    <row r="3" spans="1:15" ht="14" x14ac:dyDescent="0.3">
      <c r="A3" s="4" t="s">
        <v>15</v>
      </c>
      <c r="B3" s="4">
        <v>15280</v>
      </c>
      <c r="C3" s="4">
        <v>583</v>
      </c>
      <c r="E3" s="17" t="s">
        <v>26</v>
      </c>
      <c r="F3" s="18">
        <v>347</v>
      </c>
      <c r="G3" s="18">
        <v>3083</v>
      </c>
      <c r="I3" s="18">
        <v>2019</v>
      </c>
      <c r="J3" s="18">
        <v>100000</v>
      </c>
      <c r="M3">
        <v>3046336</v>
      </c>
      <c r="N3" s="21" t="s">
        <v>21</v>
      </c>
      <c r="O3" s="24" t="s">
        <v>42</v>
      </c>
    </row>
    <row r="4" spans="1:15" ht="14" x14ac:dyDescent="0.3">
      <c r="A4" s="4" t="s">
        <v>16</v>
      </c>
      <c r="B4" s="4">
        <v>2861</v>
      </c>
      <c r="C4" s="4">
        <v>289</v>
      </c>
      <c r="E4" s="17" t="s">
        <v>27</v>
      </c>
      <c r="F4" s="18">
        <v>243</v>
      </c>
      <c r="G4" s="18">
        <v>4618</v>
      </c>
      <c r="I4" s="18">
        <v>2020</v>
      </c>
      <c r="J4" s="18">
        <v>100000</v>
      </c>
      <c r="M4">
        <v>40492</v>
      </c>
      <c r="N4" s="21" t="s">
        <v>22</v>
      </c>
      <c r="O4" s="24" t="s">
        <v>44</v>
      </c>
    </row>
    <row r="5" spans="1:15" ht="14" x14ac:dyDescent="0.3">
      <c r="A5" s="4" t="s">
        <v>17</v>
      </c>
      <c r="B5" s="4">
        <v>2666</v>
      </c>
      <c r="C5" s="4">
        <v>608</v>
      </c>
      <c r="E5" s="17" t="s">
        <v>28</v>
      </c>
      <c r="F5" s="18">
        <v>264</v>
      </c>
      <c r="G5" s="18">
        <v>5454</v>
      </c>
      <c r="I5" s="18">
        <v>2021</v>
      </c>
      <c r="J5" s="18">
        <v>102000</v>
      </c>
      <c r="K5" s="25">
        <v>45343</v>
      </c>
      <c r="L5" s="25"/>
      <c r="M5">
        <v>4442979</v>
      </c>
      <c r="N5" s="21" t="s">
        <v>21</v>
      </c>
      <c r="O5" s="24" t="s">
        <v>44</v>
      </c>
    </row>
    <row r="6" spans="1:15" ht="14" x14ac:dyDescent="0.3">
      <c r="A6" s="4" t="s">
        <v>18</v>
      </c>
      <c r="B6" s="4">
        <v>2884</v>
      </c>
      <c r="C6" s="4">
        <v>557</v>
      </c>
      <c r="E6" s="17" t="s">
        <v>30</v>
      </c>
      <c r="F6" s="18">
        <v>502</v>
      </c>
      <c r="G6" s="18">
        <v>21050</v>
      </c>
      <c r="I6" s="18">
        <v>2022</v>
      </c>
      <c r="J6" s="18">
        <f>41000+84000+13500</f>
        <v>138500</v>
      </c>
      <c r="K6">
        <f>41000</f>
        <v>41000</v>
      </c>
    </row>
    <row r="7" spans="1:15" ht="14" x14ac:dyDescent="0.3">
      <c r="B7" s="4">
        <v>76981</v>
      </c>
      <c r="E7" s="17" t="s">
        <v>29</v>
      </c>
      <c r="F7" s="18">
        <v>675</v>
      </c>
      <c r="G7" s="18">
        <v>23497</v>
      </c>
      <c r="I7" s="18">
        <v>2023</v>
      </c>
      <c r="J7" s="22" t="s">
        <v>40</v>
      </c>
      <c r="K7" s="20">
        <f>SUM(J2:J6)-K6</f>
        <v>499500</v>
      </c>
      <c r="L7" s="20"/>
    </row>
    <row r="8" spans="1:15" ht="14" x14ac:dyDescent="0.3">
      <c r="B8" s="4">
        <v>-23712</v>
      </c>
      <c r="E8" s="17" t="s">
        <v>31</v>
      </c>
      <c r="F8" s="18">
        <v>2028</v>
      </c>
      <c r="G8" s="18">
        <v>25133</v>
      </c>
      <c r="I8" s="18">
        <v>2024</v>
      </c>
      <c r="J8" s="22">
        <v>500</v>
      </c>
      <c r="K8" s="20"/>
      <c r="L8" s="20"/>
    </row>
    <row r="9" spans="1:15" ht="14" x14ac:dyDescent="0.3">
      <c r="B9" s="4">
        <f>SUM(B3:B8)</f>
        <v>76960</v>
      </c>
      <c r="E9" s="17" t="s">
        <v>32</v>
      </c>
      <c r="F9" s="18">
        <v>3314</v>
      </c>
      <c r="G9" s="18">
        <v>26424</v>
      </c>
    </row>
    <row r="10" spans="1:15" ht="15" customHeight="1" x14ac:dyDescent="0.3">
      <c r="E10" s="17" t="s">
        <v>34</v>
      </c>
      <c r="F10" s="18">
        <v>6641</v>
      </c>
      <c r="G10" s="18">
        <v>25756</v>
      </c>
    </row>
    <row r="11" spans="1:15" ht="14.5" x14ac:dyDescent="0.35">
      <c r="C11" s="6"/>
      <c r="E11" s="17" t="s">
        <v>36</v>
      </c>
      <c r="F11" s="18">
        <v>1690</v>
      </c>
      <c r="G11" s="18">
        <v>23114</v>
      </c>
    </row>
    <row r="12" spans="1:15" ht="15" customHeight="1" x14ac:dyDescent="0.3">
      <c r="E12" s="17" t="s">
        <v>37</v>
      </c>
      <c r="F12" s="18">
        <v>1060</v>
      </c>
      <c r="G12" s="18">
        <v>2418</v>
      </c>
    </row>
    <row r="13" spans="1:15" ht="15" customHeight="1" x14ac:dyDescent="0.3">
      <c r="E13" s="17" t="s">
        <v>38</v>
      </c>
      <c r="F13" s="18">
        <v>1662</v>
      </c>
      <c r="G13" s="18">
        <v>4763</v>
      </c>
    </row>
    <row r="14" spans="1:15" ht="15" customHeight="1" x14ac:dyDescent="0.3">
      <c r="E14" s="17" t="s">
        <v>33</v>
      </c>
      <c r="F14" s="18">
        <v>424</v>
      </c>
      <c r="G14" s="18">
        <v>633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C1"/>
    <mergeCell ref="E1:F1"/>
    <mergeCell ref="I1:J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5A98-4168-4B9E-92DB-0B2D8F3DF090}">
  <dimension ref="A1"/>
  <sheetViews>
    <sheetView workbookViewId="0">
      <selection activeCell="E3" sqref="E3:I3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</vt:lpstr>
      <vt:lpstr>interest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Mohd</dc:creator>
  <cp:lastModifiedBy>Mohd, Shariq</cp:lastModifiedBy>
  <dcterms:created xsi:type="dcterms:W3CDTF">2016-06-30T14:12:00Z</dcterms:created>
  <dcterms:modified xsi:type="dcterms:W3CDTF">2025-03-30T18:34:07Z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729eb45b-5567-4e12-9cbc-decf24762875</vt:lpwstr>
  </property>
  <property fmtid="{D5CDD505-2E9C-101B-9397-08002B2CF9AE}" pid="3" name="Document Creator">
    <vt:lpwstr>Mohd_S</vt:lpwstr>
  </property>
  <property fmtid="{D5CDD505-2E9C-101B-9397-08002B2CF9AE}" pid="4" name="titusconfig">
    <vt:lpwstr>0.6CorpGlobal</vt:lpwstr>
  </property>
  <property fmtid="{D5CDD505-2E9C-101B-9397-08002B2CF9AE}" pid="5" name="Document Editor">
    <vt:lpwstr>Mohd_S</vt:lpwstr>
  </property>
  <property fmtid="{D5CDD505-2E9C-101B-9397-08002B2CF9AE}" pid="6" name="DellClassification">
    <vt:lpwstr>Internal Use</vt:lpwstr>
  </property>
  <property fmtid="{D5CDD505-2E9C-101B-9397-08002B2CF9AE}" pid="7" name="DellSublabels">
    <vt:lpwstr/>
  </property>
  <property fmtid="{D5CDD505-2E9C-101B-9397-08002B2CF9AE}" pid="8" name="DellVisualMarkings">
    <vt:lpwstr>Classification Footer</vt:lpwstr>
  </property>
  <property fmtid="{D5CDD505-2E9C-101B-9397-08002B2CF9AE}" pid="9" name="HCL_Cla5s_D6">
    <vt:lpwstr>False</vt:lpwstr>
  </property>
  <property fmtid="{D5CDD505-2E9C-101B-9397-08002B2CF9AE}" pid="10" name="HCLClassD6">
    <vt:lpwstr>False</vt:lpwstr>
  </property>
  <property fmtid="{D5CDD505-2E9C-101B-9397-08002B2CF9AE}" pid="11" name="MSIP_Label_15d3885c-1f56-40e3-8399-6e8073bd5146_Enabled">
    <vt:lpwstr>true</vt:lpwstr>
  </property>
  <property fmtid="{D5CDD505-2E9C-101B-9397-08002B2CF9AE}" pid="12" name="MSIP_Label_15d3885c-1f56-40e3-8399-6e8073bd5146_SetDate">
    <vt:lpwstr>2021-05-18T10:05:21Z</vt:lpwstr>
  </property>
  <property fmtid="{D5CDD505-2E9C-101B-9397-08002B2CF9AE}" pid="13" name="MSIP_Label_15d3885c-1f56-40e3-8399-6e8073bd5146_Method">
    <vt:lpwstr>Privileged</vt:lpwstr>
  </property>
  <property fmtid="{D5CDD505-2E9C-101B-9397-08002B2CF9AE}" pid="14" name="MSIP_Label_15d3885c-1f56-40e3-8399-6e8073bd5146_Name">
    <vt:lpwstr>15d3885c-1f56-40e3-8399-6e8073bd5146</vt:lpwstr>
  </property>
  <property fmtid="{D5CDD505-2E9C-101B-9397-08002B2CF9AE}" pid="15" name="MSIP_Label_15d3885c-1f56-40e3-8399-6e8073bd5146_SiteId">
    <vt:lpwstr>ea80952e-a476-42d4-aaf4-5457852b0f7e</vt:lpwstr>
  </property>
  <property fmtid="{D5CDD505-2E9C-101B-9397-08002B2CF9AE}" pid="16" name="MSIP_Label_15d3885c-1f56-40e3-8399-6e8073bd5146_ActionId">
    <vt:lpwstr>5c07db2d-5865-472f-9774-72a49b6d6a46</vt:lpwstr>
  </property>
  <property fmtid="{D5CDD505-2E9C-101B-9397-08002B2CF9AE}" pid="17" name="MSIP_Label_15d3885c-1f56-40e3-8399-6e8073bd5146_ContentBits">
    <vt:lpwstr>0</vt:lpwstr>
  </property>
  <property fmtid="{D5CDD505-2E9C-101B-9397-08002B2CF9AE}" pid="18" name="HCLClassification">
    <vt:lpwstr>HCL_Cla5s_1nt3rnal</vt:lpwstr>
  </property>
</Properties>
</file>